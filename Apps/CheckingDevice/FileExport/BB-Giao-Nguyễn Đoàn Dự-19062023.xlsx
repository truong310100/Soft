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1725" windowWidth="20730" windowHeight="11040" tabRatio="600" firstSheet="0" activeTab="0" autoFilterDateGrouping="1"/>
  </bookViews>
  <sheets>
    <sheet xmlns:r="http://schemas.openxmlformats.org/officeDocument/2006/relationships" name="BienBan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HungHau"/>
      <family val="3"/>
      <color indexed="8"/>
      <sz val="12"/>
    </font>
    <font>
      <name val="HungHau"/>
      <family val="3"/>
      <b val="1"/>
      <color indexed="8"/>
      <sz val="12"/>
    </font>
    <font>
      <name val="HungHau"/>
      <family val="3"/>
      <color theme="1"/>
      <sz val="12"/>
    </font>
    <font>
      <name val="HungHau"/>
      <family val="3"/>
      <sz val="12"/>
    </font>
    <font>
      <name val="Verdana"/>
      <family val="2"/>
      <color rgb="FF222222"/>
      <sz val="9"/>
    </font>
    <font>
      <name val="HungHau"/>
      <i val="1"/>
      <color indexed="8"/>
      <sz val="12"/>
    </font>
    <font>
      <name val="Segoe UI"/>
      <family val="2"/>
      <color rgb="FFD1D5DB"/>
      <sz val="10"/>
    </font>
    <font>
      <name val="HungHau"/>
      <family val="3"/>
      <color rgb="FFFFC000"/>
      <sz val="12"/>
    </font>
    <font>
      <name val="HungHau"/>
      <b val="1"/>
      <color indexed="8"/>
      <sz val="12"/>
    </font>
    <font>
      <name val="HungHau"/>
      <b val="1"/>
      <color theme="1"/>
      <sz val="12"/>
    </font>
    <font>
      <name val="HungHau"/>
      <b val="1"/>
      <color rgb="FFFF0000"/>
      <sz val="12"/>
    </font>
    <font>
      <name val="Calibri"/>
      <family val="2"/>
      <color rgb="FFFF0000"/>
      <sz val="11"/>
      <scheme val="minor"/>
    </font>
    <font>
      <name val="HungHau"/>
      <family val="3"/>
      <color rgb="FFFF0000"/>
      <sz val="12"/>
    </font>
    <font>
      <name val="HungHau"/>
      <color theme="1"/>
      <sz val="12"/>
    </font>
  </fonts>
  <fills count="3">
    <fill>
      <patternFill/>
    </fill>
    <fill>
      <patternFill patternType="gray125"/>
    </fill>
    <fill>
      <patternFill patternType="solid">
        <fgColor indexed="5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14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9" fontId="1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2" fillId="0" borderId="2" pivotButton="0" quotePrefix="0" xfId="0"/>
    <xf numFmtId="0" fontId="10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104775</colOff>
      <row>0</row>
      <rowOff>131445</rowOff>
    </from>
    <to>
      <col>1</col>
      <colOff>136344</colOff>
      <row>4</row>
      <rowOff>91440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75" y="131445"/>
          <a:ext cx="945969" cy="7219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tabSelected="1" topLeftCell="A2" zoomScaleNormal="100" workbookViewId="0">
      <selection activeCell="B13" sqref="B13"/>
    </sheetView>
  </sheetViews>
  <sheetFormatPr baseColWidth="8" defaultColWidth="9.109375" defaultRowHeight="18"/>
  <cols>
    <col width="13.33203125" customWidth="1" style="32" min="1" max="1"/>
    <col width="32" bestFit="1" customWidth="1" style="29" min="2" max="2"/>
    <col width="19.44140625" customWidth="1" style="29" min="3" max="3"/>
    <col width="37.33203125" bestFit="1" customWidth="1" style="29" min="4" max="4"/>
    <col width="18.6640625" bestFit="1" customWidth="1" style="29" min="5" max="5"/>
    <col width="28" bestFit="1" customWidth="1" style="29" min="6" max="6"/>
    <col width="15" bestFit="1" customWidth="1" style="29" min="7" max="7"/>
    <col width="13.5546875" bestFit="1" customWidth="1" style="29" min="8" max="8"/>
    <col width="13.44140625" bestFit="1" customWidth="1" style="29" min="9" max="9"/>
    <col width="9.109375" customWidth="1" style="29" min="10" max="21"/>
    <col width="9.109375" customWidth="1" style="29" min="22" max="16384"/>
  </cols>
  <sheetData>
    <row r="1" ht="15" customHeight="1">
      <c r="A1" s="29" t="n"/>
      <c r="B1" s="8" t="n"/>
      <c r="J1" s="9" t="n"/>
      <c r="K1" s="9" t="n"/>
    </row>
    <row r="2" ht="15" customHeight="1">
      <c r="A2" s="28" t="inlineStr">
        <is>
          <t>Công ty Cổ phần Phát triển Hùng Hậu</t>
        </is>
      </c>
    </row>
    <row r="3" ht="15" customHeight="1">
      <c r="A3" s="32" t="inlineStr">
        <is>
          <t>1004 A Âu Cơ, P. Phú Trung, Q. Tân Phú, TP HCM</t>
        </is>
      </c>
    </row>
    <row r="4" ht="15" customHeight="1">
      <c r="A4" s="32" t="n"/>
    </row>
    <row r="5" ht="15" customHeight="1">
      <c r="A5" s="32" t="n"/>
    </row>
    <row r="6" ht="19.5" customHeight="1">
      <c r="A6" s="28" t="inlineStr">
        <is>
          <t>BIÊN BẢN GIAO - NHẬN MÁY TÍNH</t>
        </is>
      </c>
    </row>
    <row r="7" ht="15" customHeight="1">
      <c r="B7" s="32" t="n"/>
      <c r="C7" s="32" t="n"/>
      <c r="D7" s="32" t="n"/>
      <c r="E7" s="8" t="n"/>
      <c r="F7" s="32" t="n"/>
    </row>
    <row r="8" ht="15" customHeight="1">
      <c r="F8" s="10">
        <f>CONCATENATE("Ngày ",DAY(TODAY())," tháng ",MONTH(TODAY())," năm ",YEAR(TODAY()))</f>
        <v/>
      </c>
      <c r="I8" s="6" t="n"/>
    </row>
    <row r="9" ht="15" customHeight="1"/>
    <row r="10" ht="15" customHeight="1">
      <c r="A10" s="23" t="inlineStr">
        <is>
          <t>Người giao:</t>
        </is>
      </c>
      <c r="B10" s="24" t="inlineStr">
        <is>
          <t>Nguyễn Lam Trường</t>
        </is>
      </c>
      <c r="C10" s="11" t="inlineStr">
        <is>
          <t>Vị trí công tác:</t>
        </is>
      </c>
      <c r="D10" s="15" t="inlineStr">
        <is>
          <t>Nhân viên - Ban Chuyển Đổi Số</t>
        </is>
      </c>
      <c r="E10" s="12" t="n"/>
    </row>
    <row r="11" ht="15" customHeight="1">
      <c r="C11" s="11" t="n"/>
      <c r="I11" s="8" t="n"/>
    </row>
    <row r="12">
      <c r="A12" s="29">
        <f>IF(A10="Người giao:","Người nhận:", "Người giao:")</f>
        <v/>
      </c>
      <c r="B12" s="26" t="inlineStr">
        <is>
          <t>Nguyễn Đoàn Dự</t>
        </is>
      </c>
      <c r="C12" s="11" t="inlineStr">
        <is>
          <t>Vị trí công tác:</t>
        </is>
      </c>
      <c r="D12" s="21" t="inlineStr">
        <is>
          <t>Chức vụ - Phòng ban</t>
        </is>
      </c>
      <c r="E12" s="20" t="n"/>
      <c r="F12" s="20" t="n"/>
      <c r="J12" s="7" t="n"/>
    </row>
    <row r="13" ht="15" customHeight="1">
      <c r="H13" s="8" t="n"/>
      <c r="J13" s="6" t="n"/>
    </row>
    <row r="14" ht="15" customHeight="1">
      <c r="A14" s="13" t="inlineStr">
        <is>
          <t>I. Máy tính:</t>
        </is>
      </c>
      <c r="C14" s="14" t="inlineStr">
        <is>
          <t>Computer Name:</t>
        </is>
      </c>
      <c r="D14" s="17" t="inlineStr">
        <is>
          <t>DESKTOP-HK6QIQ2</t>
        </is>
      </c>
      <c r="E14" s="17" t="n"/>
    </row>
    <row r="15" ht="15" customHeight="1"/>
    <row r="16" ht="15" customFormat="1" customHeight="1" s="32">
      <c r="A16" s="30" t="inlineStr">
        <is>
          <t>STT</t>
        </is>
      </c>
      <c r="B16" s="30" t="inlineStr">
        <is>
          <t>Tên / mã thiết bị</t>
        </is>
      </c>
      <c r="C16" s="30" t="inlineStr">
        <is>
          <t>Cấu hình / loại</t>
        </is>
      </c>
      <c r="D16" s="31" t="n"/>
      <c r="E16" s="30" t="inlineStr">
        <is>
          <t>Serial Number</t>
        </is>
      </c>
      <c r="F16" s="30" t="inlineStr">
        <is>
          <t>Ghi chú</t>
        </is>
      </c>
    </row>
    <row r="17" ht="178.5" customHeight="1">
      <c r="A17" s="19" t="n">
        <v>1</v>
      </c>
      <c r="B17" s="22" t="inlineStr">
        <is>
          <t>82NH</t>
        </is>
      </c>
      <c r="C17" s="36" t="inlineStr">
        <is>
          <t>11th Gen Intel(R) Core(TM) i5-11300H @ 3.10GHz
RAM 1: 2GB 4267 Micron Technology
RAM 2: 2GB 4267 Micron Technology
RAM 3: 2GB 4267 Micron Technology
RAM 4: 2GB 4267 Micron Technology
RAM 5: 2GB 4267 Micron Technology
RAM 6: 2GB 4267 Micron Technology
RAM 7: 2GB 4267 Micron Technology
RAM 8: 2GB 4267 Micron Technology
Media 1: SSD, Manufacturer: WDC, Model: PC SN730 SDBPNTY-512G-1101, Size: 476.94 GB
Media 2: Unspecified, Manufacturer: Kingston, Model: DataTraveler 3.0, Size: 57.62 GB</t>
        </is>
      </c>
      <c r="D17" s="31" t="n"/>
      <c r="E17" s="25" t="inlineStr">
        <is>
          <t>PF3X76AH</t>
        </is>
      </c>
      <c r="F17" s="27" t="inlineStr">
        <is>
          <t>Tình trạng thân máy: Bình thường
Kết nối khác: Ổn định
Tuổi thọ ổ cứng: 100%
Pin còn lại: 97.49%</t>
        </is>
      </c>
    </row>
    <row r="18">
      <c r="A18" s="18" t="n"/>
      <c r="B18" s="18" t="n"/>
      <c r="C18" s="41" t="n"/>
      <c r="D18" s="31" t="n"/>
      <c r="E18" s="18" t="n"/>
      <c r="F18" s="18" t="n"/>
    </row>
    <row r="19">
      <c r="A19" s="18" t="n"/>
      <c r="B19" s="18" t="n"/>
      <c r="C19" s="19" t="n"/>
      <c r="D19" s="31" t="n"/>
      <c r="E19" s="18" t="n"/>
      <c r="F19" s="18" t="n"/>
    </row>
    <row r="20" ht="15" customHeight="1">
      <c r="B20" s="4" t="n"/>
      <c r="C20" s="5" t="n"/>
    </row>
    <row r="21" ht="15" customHeight="1">
      <c r="A21" s="38">
        <f>IF(A10="Người giao:","Người giao","Người nhận")</f>
        <v/>
      </c>
      <c r="E21" s="33">
        <f>IF(A10="Người nhận:","Người giao","Người nhận")</f>
        <v/>
      </c>
    </row>
    <row r="22" ht="15" customHeight="1">
      <c r="A22" s="5" t="n"/>
      <c r="B22" s="5" t="n"/>
    </row>
    <row r="23" ht="15" customHeight="1"/>
    <row r="24" ht="15" customHeight="1"/>
    <row r="25" ht="15" customHeight="1"/>
    <row r="26" ht="15" customHeight="1"/>
    <row r="27" ht="15" customHeight="1">
      <c r="A27" s="33">
        <f>B10</f>
        <v/>
      </c>
      <c r="E27" s="33">
        <f>B12</f>
        <v/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7" ht="15" customHeight="1"/>
  </sheetData>
  <mergeCells count="13">
    <mergeCell ref="A2:F2"/>
    <mergeCell ref="A21:B21"/>
    <mergeCell ref="C16:D16"/>
    <mergeCell ref="A5:F5"/>
    <mergeCell ref="C19:D19"/>
    <mergeCell ref="E27:F27"/>
    <mergeCell ref="A6:F6"/>
    <mergeCell ref="A4:F4"/>
    <mergeCell ref="C18:D18"/>
    <mergeCell ref="A3:F3"/>
    <mergeCell ref="A27:B27"/>
    <mergeCell ref="C17:D17"/>
    <mergeCell ref="E21:F21"/>
  </mergeCells>
  <dataValidations count="2">
    <dataValidation sqref="J9 K2" showDropDown="0" showInputMessage="1" showErrorMessage="1" allowBlank="0" type="list">
      <formula1>"Giao, Nhận"</formula1>
    </dataValidation>
    <dataValidation sqref="A10:B10" showDropDown="0" showInputMessage="1" showErrorMessage="1" allowBlank="0"/>
  </dataValidations>
  <printOptions horizontalCentered="1"/>
  <pageMargins left="0.25" right="0.25" top="0.75" bottom="0.75" header="0.3" footer="0.3"/>
  <pageSetup orientation="portrait" paperSize="9" scale="66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G6" sqref="G6"/>
    </sheetView>
  </sheetViews>
  <sheetFormatPr baseColWidth="8" defaultRowHeight="14.4"/>
  <cols>
    <col width="3.88671875" bestFit="1" customWidth="1" style="16" min="1" max="1"/>
    <col width="18.33203125" bestFit="1" customWidth="1" min="2" max="2"/>
    <col width="31.109375" bestFit="1" customWidth="1" min="3" max="3"/>
    <col width="11" bestFit="1" customWidth="1" min="4" max="4"/>
    <col width="16.33203125" bestFit="1" customWidth="1" min="5" max="5"/>
  </cols>
  <sheetData>
    <row r="1">
      <c r="A1" s="16" t="inlineStr">
        <is>
          <t>STT</t>
        </is>
      </c>
      <c r="B1" t="inlineStr">
        <is>
          <t>Tên</t>
        </is>
      </c>
      <c r="C1" t="inlineStr">
        <is>
          <t>Chức vụ - Ban</t>
        </is>
      </c>
      <c r="D1" t="inlineStr">
        <is>
          <t>Chúc vụ</t>
        </is>
      </c>
      <c r="E1" t="inlineStr">
        <is>
          <t>Ban</t>
        </is>
      </c>
    </row>
    <row r="2">
      <c r="A2" s="16" t="n">
        <v>1</v>
      </c>
      <c r="B2" t="inlineStr">
        <is>
          <t>Nguyễn Thanh Phong</t>
        </is>
      </c>
      <c r="C2">
        <f>_xlfn.CONCAT(D2," - ",E2)</f>
        <v/>
      </c>
      <c r="D2" t="inlineStr">
        <is>
          <t>Giám đốc</t>
        </is>
      </c>
      <c r="E2" t="inlineStr">
        <is>
          <t>Ban Chuyển Đổi Số</t>
        </is>
      </c>
    </row>
    <row r="3">
      <c r="A3" s="16" t="n">
        <v>2</v>
      </c>
      <c r="B3" t="inlineStr">
        <is>
          <t>Nguyễn Khánh Duy</t>
        </is>
      </c>
      <c r="C3">
        <f>_xlfn.CONCAT(D3," - ",E3)</f>
        <v/>
      </c>
      <c r="D3" t="inlineStr">
        <is>
          <t>Trưởng bộ phận</t>
        </is>
      </c>
      <c r="E3" t="inlineStr">
        <is>
          <t>Ban Chuyển Đổi Số</t>
        </is>
      </c>
    </row>
    <row r="4">
      <c r="A4" s="16" t="n">
        <v>3</v>
      </c>
      <c r="B4" t="inlineStr">
        <is>
          <t>Nguyễn Lam Trường</t>
        </is>
      </c>
      <c r="C4">
        <f>_xlfn.CONCAT(D4," - ",E4)</f>
        <v/>
      </c>
      <c r="D4" t="inlineStr">
        <is>
          <t>Nhân Viên</t>
        </is>
      </c>
      <c r="E4" t="inlineStr">
        <is>
          <t>Ban Chuyển Đổi Số</t>
        </is>
      </c>
    </row>
    <row r="5">
      <c r="A5" s="16" t="n">
        <v>4</v>
      </c>
      <c r="B5" t="inlineStr">
        <is>
          <t>Trần Quốc Dũng</t>
        </is>
      </c>
      <c r="C5">
        <f>_xlfn.CONCAT(D5," - ",E5)</f>
        <v/>
      </c>
      <c r="D5" t="inlineStr">
        <is>
          <t>Chuyên Viên</t>
        </is>
      </c>
      <c r="E5" t="inlineStr">
        <is>
          <t>Ban Chuyển Đổi Số</t>
        </is>
      </c>
    </row>
    <row r="6">
      <c r="A6" s="16" t="n">
        <v>5</v>
      </c>
      <c r="B6" t="inlineStr">
        <is>
          <t>Lương Vĩ Thông</t>
        </is>
      </c>
      <c r="C6">
        <f>_xlfn.CONCAT(D6," - ",E6)</f>
        <v/>
      </c>
      <c r="D6" t="inlineStr">
        <is>
          <t>Nhân Viên</t>
        </is>
      </c>
      <c r="E6" t="inlineStr">
        <is>
          <t>Ban Chuyển Đổi Số</t>
        </is>
      </c>
    </row>
    <row r="7">
      <c r="A7" s="16" t="n">
        <v>6</v>
      </c>
      <c r="B7" t="inlineStr">
        <is>
          <t>Lê Hoàng Phúc</t>
        </is>
      </c>
      <c r="C7">
        <f>_xlfn.CONCAT(D7," - ",E7)</f>
        <v/>
      </c>
      <c r="D7" t="inlineStr">
        <is>
          <t>Nhân Viên</t>
        </is>
      </c>
      <c r="E7" t="inlineStr">
        <is>
          <t>Ban Chuyển Đổi Số</t>
        </is>
      </c>
    </row>
    <row r="8">
      <c r="A8" s="16" t="n">
        <v>7</v>
      </c>
      <c r="B8" t="inlineStr">
        <is>
          <t>Phạm Thị Cẩm Vân</t>
        </is>
      </c>
      <c r="C8">
        <f>_xlfn.CONCAT(D8," - ",E8)</f>
        <v/>
      </c>
      <c r="D8" t="inlineStr">
        <is>
          <t>Nhân Viên</t>
        </is>
      </c>
      <c r="E8" t="inlineStr">
        <is>
          <t>Ban Chuyển Đổi Số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2" sqref="E12:E13"/>
    </sheetView>
  </sheetViews>
  <sheetFormatPr baseColWidth="8" defaultRowHeight="14.4"/>
  <sheetData>
    <row r="1">
      <c r="A1" t="inlineStr">
        <is>
          <t>Nhận viên hùng hậu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2016-10-31T09:40:17Z</dcterms:created>
  <dcterms:modified xmlns:dcterms="http://purl.org/dc/terms/" xmlns:xsi="http://www.w3.org/2001/XMLSchema-instance" xsi:type="dcterms:W3CDTF">2023-06-19T02:09:27Z</dcterms:modified>
  <cp:lastModifiedBy>admin</cp:lastModifiedBy>
  <cp:lastPrinted>2023-03-17T03:51:15Z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0x01010043A0BEBFCDD44A43AA890544F9243DCD</vt:lpwstr>
  </property>
  <property name="MediaServiceImageTags" fmtid="{D5CDD505-2E9C-101B-9397-08002B2CF9AE}" pid="3">
    <vt:lpwstr xmlns:vt="http://schemas.openxmlformats.org/officeDocument/2006/docPropsVTypes"/>
  </property>
</Properties>
</file>